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Stok\Downloads\"/>
    </mc:Choice>
  </mc:AlternateContent>
  <xr:revisionPtr revIDLastSave="0" documentId="13_ncr:1_{9F4B31A3-05E2-4D3B-8901-BDB05B53D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dor" sheetId="1" r:id="rId1"/>
    <sheet name="Relató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1" l="1"/>
  <c r="B1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D18" i="1" s="1"/>
  <c r="E18" i="1" s="1"/>
  <c r="C11" i="1"/>
  <c r="C10" i="1"/>
  <c r="F18" i="1" l="1"/>
  <c r="B19" i="1"/>
  <c r="D19" i="1" s="1"/>
  <c r="F19" i="1" l="1"/>
  <c r="B20" i="1" s="1"/>
  <c r="E19" i="1"/>
  <c r="D20" i="1" l="1"/>
  <c r="F20" i="1"/>
  <c r="E20" i="1"/>
  <c r="B21" i="1"/>
  <c r="D21" i="1" s="1"/>
  <c r="F21" i="1" l="1"/>
  <c r="B22" i="1" s="1"/>
  <c r="D22" i="1" s="1"/>
  <c r="E21" i="1"/>
  <c r="F22" i="1" l="1"/>
  <c r="E22" i="1"/>
  <c r="B23" i="1"/>
  <c r="D23" i="1" s="1"/>
  <c r="F23" i="1" l="1"/>
  <c r="E23" i="1"/>
  <c r="B24" i="1"/>
  <c r="D24" i="1" s="1"/>
  <c r="F24" i="1" l="1"/>
  <c r="B25" i="1" s="1"/>
  <c r="D25" i="1" s="1"/>
  <c r="E24" i="1"/>
  <c r="F25" i="1" l="1"/>
  <c r="E25" i="1"/>
  <c r="B26" i="1"/>
  <c r="D26" i="1" s="1"/>
  <c r="F26" i="1" l="1"/>
  <c r="B27" i="1" s="1"/>
  <c r="D27" i="1" s="1"/>
  <c r="E26" i="1"/>
  <c r="F27" i="1" l="1"/>
  <c r="B28" i="1" s="1"/>
  <c r="D28" i="1" s="1"/>
  <c r="E27" i="1"/>
  <c r="F28" i="1" l="1"/>
  <c r="B29" i="1" s="1"/>
  <c r="D29" i="1" s="1"/>
  <c r="E28" i="1"/>
  <c r="F29" i="1" l="1"/>
  <c r="B30" i="1" s="1"/>
  <c r="D30" i="1" s="1"/>
  <c r="E29" i="1"/>
  <c r="F30" i="1" l="1"/>
  <c r="B31" i="1" s="1"/>
  <c r="D31" i="1" s="1"/>
  <c r="E30" i="1"/>
  <c r="F31" i="1" l="1"/>
  <c r="B32" i="1" s="1"/>
  <c r="D32" i="1" s="1"/>
  <c r="E31" i="1"/>
  <c r="F32" i="1" l="1"/>
  <c r="B33" i="1" s="1"/>
  <c r="D33" i="1" s="1"/>
  <c r="E32" i="1"/>
  <c r="F33" i="1" l="1"/>
  <c r="E33" i="1"/>
  <c r="B34" i="1"/>
  <c r="D34" i="1" s="1"/>
  <c r="F34" i="1" l="1"/>
  <c r="E34" i="1"/>
  <c r="B35" i="1"/>
  <c r="D35" i="1"/>
  <c r="F35" i="1" l="1"/>
  <c r="E35" i="1"/>
  <c r="B36" i="1"/>
  <c r="D36" i="1"/>
  <c r="F36" i="1" l="1"/>
  <c r="E36" i="1"/>
  <c r="B37" i="1"/>
  <c r="D37" i="1"/>
  <c r="F37" i="1" l="1"/>
  <c r="E37" i="1"/>
  <c r="B38" i="1"/>
  <c r="D38" i="1"/>
  <c r="F38" i="1" l="1"/>
  <c r="E38" i="1"/>
  <c r="B39" i="1"/>
  <c r="D39" i="1" s="1"/>
  <c r="F39" i="1" l="1"/>
  <c r="E39" i="1"/>
  <c r="B40" i="1"/>
  <c r="D40" i="1" s="1"/>
  <c r="F40" i="1" l="1"/>
  <c r="E40" i="1"/>
  <c r="B41" i="1"/>
  <c r="D41" i="1"/>
  <c r="E41" i="1" s="1"/>
  <c r="F41" i="1"/>
  <c r="B42" i="1" l="1"/>
  <c r="D42" i="1"/>
  <c r="F42" i="1" l="1"/>
  <c r="E42" i="1"/>
  <c r="B43" i="1"/>
  <c r="D43" i="1" s="1"/>
  <c r="F43" i="1" l="1"/>
  <c r="E43" i="1"/>
  <c r="B44" i="1"/>
  <c r="D44" i="1" s="1"/>
  <c r="F44" i="1" l="1"/>
  <c r="E44" i="1"/>
  <c r="B45" i="1"/>
  <c r="D45" i="1"/>
  <c r="F45" i="1" l="1"/>
  <c r="E45" i="1"/>
  <c r="B46" i="1"/>
  <c r="D46" i="1" s="1"/>
  <c r="E46" i="1" l="1"/>
  <c r="F46" i="1"/>
  <c r="B47" i="1"/>
  <c r="D47" i="1"/>
  <c r="E47" i="1" s="1"/>
  <c r="F47" i="1"/>
  <c r="B48" i="1" l="1"/>
  <c r="D48" i="1" s="1"/>
  <c r="F48" i="1" l="1"/>
  <c r="E48" i="1"/>
  <c r="B49" i="1"/>
  <c r="D49" i="1"/>
  <c r="E49" i="1" s="1"/>
  <c r="F49" i="1"/>
  <c r="B50" i="1" l="1"/>
  <c r="D50" i="1"/>
  <c r="F50" i="1" l="1"/>
  <c r="E50" i="1"/>
  <c r="B51" i="1"/>
  <c r="D51" i="1" l="1"/>
  <c r="F51" i="1" l="1"/>
  <c r="E51" i="1"/>
  <c r="B52" i="1"/>
  <c r="D52" i="1"/>
  <c r="F52" i="1" l="1"/>
  <c r="E52" i="1"/>
  <c r="B53" i="1"/>
  <c r="D53" i="1"/>
  <c r="F53" i="1" l="1"/>
  <c r="E53" i="1"/>
  <c r="B54" i="1"/>
  <c r="D54" i="1"/>
  <c r="F54" i="1" l="1"/>
  <c r="E54" i="1"/>
  <c r="B55" i="1"/>
  <c r="D55" i="1"/>
  <c r="F55" i="1" l="1"/>
  <c r="E55" i="1"/>
  <c r="B56" i="1"/>
  <c r="D56" i="1"/>
  <c r="F56" i="1" l="1"/>
  <c r="E56" i="1"/>
  <c r="B57" i="1"/>
  <c r="D57" i="1"/>
  <c r="E57" i="1" s="1"/>
  <c r="F57" i="1"/>
  <c r="B58" i="1" l="1"/>
  <c r="D58" i="1"/>
  <c r="F58" i="1" l="1"/>
  <c r="E58" i="1"/>
  <c r="B59" i="1"/>
  <c r="D59" i="1"/>
  <c r="F59" i="1" l="1"/>
  <c r="E59" i="1"/>
  <c r="B60" i="1"/>
  <c r="D60" i="1"/>
  <c r="F60" i="1" l="1"/>
  <c r="E60" i="1"/>
  <c r="B61" i="1"/>
  <c r="D61" i="1"/>
  <c r="F61" i="1" l="1"/>
  <c r="E61" i="1"/>
  <c r="B62" i="1"/>
  <c r="D62" i="1"/>
  <c r="F62" i="1" l="1"/>
  <c r="E62" i="1"/>
  <c r="B63" i="1"/>
  <c r="D63" i="1"/>
  <c r="F63" i="1" l="1"/>
  <c r="E63" i="1"/>
  <c r="B64" i="1"/>
  <c r="D64" i="1" s="1"/>
  <c r="F64" i="1" l="1"/>
  <c r="E64" i="1"/>
  <c r="B65" i="1"/>
  <c r="D65" i="1"/>
  <c r="F65" i="1" l="1"/>
  <c r="E65" i="1"/>
  <c r="B66" i="1"/>
  <c r="D66" i="1"/>
  <c r="F66" i="1" l="1"/>
  <c r="E66" i="1"/>
  <c r="B67" i="1"/>
  <c r="D67" i="1"/>
  <c r="F67" i="1" l="1"/>
  <c r="E67" i="1"/>
  <c r="B68" i="1"/>
  <c r="D68" i="1"/>
  <c r="F68" i="1" l="1"/>
  <c r="E68" i="1"/>
  <c r="B69" i="1"/>
  <c r="D69" i="1"/>
  <c r="F69" i="1" l="1"/>
  <c r="E69" i="1"/>
  <c r="B70" i="1"/>
  <c r="D70" i="1"/>
  <c r="F70" i="1" l="1"/>
  <c r="E70" i="1"/>
  <c r="B71" i="1"/>
  <c r="D71" i="1" s="1"/>
  <c r="F71" i="1" l="1"/>
  <c r="E71" i="1"/>
  <c r="B72" i="1"/>
  <c r="D72" i="1"/>
  <c r="F72" i="1" l="1"/>
  <c r="E72" i="1"/>
  <c r="B73" i="1"/>
  <c r="D73" i="1"/>
  <c r="E73" i="1" s="1"/>
  <c r="F73" i="1"/>
  <c r="B74" i="1" l="1"/>
  <c r="D74" i="1" s="1"/>
  <c r="F74" i="1" l="1"/>
  <c r="E74" i="1"/>
  <c r="B75" i="1"/>
  <c r="D75" i="1"/>
  <c r="F75" i="1" l="1"/>
  <c r="E75" i="1"/>
  <c r="B76" i="1"/>
  <c r="D76" i="1"/>
  <c r="F76" i="1" l="1"/>
  <c r="E76" i="1"/>
  <c r="B77" i="1"/>
  <c r="D77" i="1"/>
  <c r="F77" i="1" l="1"/>
  <c r="E77" i="1"/>
  <c r="C12" i="1"/>
  <c r="C14" i="1"/>
</calcChain>
</file>

<file path=xl/sharedStrings.xml><?xml version="1.0" encoding="utf-8"?>
<sst xmlns="http://schemas.openxmlformats.org/spreadsheetml/2006/main" count="122" uniqueCount="121">
  <si>
    <t>PARÂMETROS DE ENTRADA</t>
  </si>
  <si>
    <t>Investimento Inicial (R$)</t>
  </si>
  <si>
    <t>Aporte Mensal (R$)</t>
  </si>
  <si>
    <t>Taxa de Rendimento Anual (%)</t>
  </si>
  <si>
    <t>Período do Investimento (meses)</t>
  </si>
  <si>
    <t>RESUMO DO INVESTIMENTO</t>
  </si>
  <si>
    <t>Total Investido</t>
  </si>
  <si>
    <t>Taxa Mensal (%)</t>
  </si>
  <si>
    <t>Patrimônio Final Acumulado</t>
  </si>
  <si>
    <t>Total de Dividendos Recebidos</t>
  </si>
  <si>
    <t>ROI (Retorno sobre Investimento) %</t>
  </si>
  <si>
    <t>EVOLUÇÃO DO INVESTIMENTO MÊS A MÊS</t>
  </si>
  <si>
    <t>Mês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</si>
  <si>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</si>
  <si>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</si>
  <si>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</si>
  <si>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</si>
  <si>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</si>
  <si>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</si>
  <si>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</si>
  <si>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</si>
  <si>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</si>
  <si>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</si>
  <si>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</si>
  <si>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</si>
  <si>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</si>
  <si>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</si>
  <si>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</si>
  <si>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</si>
  <si>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</si>
  <si>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</si>
  <si>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</si>
  <si>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</si>
  <si>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</si>
  <si>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</si>
  <si>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</si>
  <si>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</si>
  <si>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</si>
  <si>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</si>
  <si>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</si>
  <si>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</si>
  <si>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</si>
  <si>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</si>
  <si>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</si>
  <si>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</si>
  <si>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</si>
  <si>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</si>
  <si>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</si>
  <si>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</si>
  <si>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</si>
  <si>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</si>
  <si>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</si>
  <si>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</si>
  <si>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</si>
  <si>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</si>
  <si>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</si>
  <si>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</si>
  <si>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</si>
  <si>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</si>
  <si>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</si>
  <si>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</si>
  <si>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</si>
  <si>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</si>
  <si>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</si>
  <si>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</si>
  <si>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</si>
  <si>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</si>
  <si>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</si>
  <si>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</si>
  <si>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</si>
  <si>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</si>
  <si>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</si>
  <si>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</si>
  <si>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Saldo Inicial</t>
  </si>
  <si>
    <t>Aporte</t>
  </si>
  <si>
    <t>Rendimento</t>
  </si>
  <si>
    <t>Dividendo</t>
  </si>
  <si>
    <t>Saldo Final</t>
  </si>
  <si>
    <t>SIMULADOR DE INVESTIMENTOS EM FUNDOS IMOBILIÁRIOS</t>
  </si>
  <si>
    <t>1. RESUMO EXECUTIVO</t>
  </si>
  <si>
    <t>Este relatório apresenta a análise detalhada de um investimento em fundos imobiliários.</t>
  </si>
  <si>
    <t>2. PARÂMETROS DO INVESTIMENTO</t>
  </si>
  <si>
    <t>Investimento Inicial</t>
  </si>
  <si>
    <t>Aporte Mensal</t>
  </si>
  <si>
    <t>Taxa Anual</t>
  </si>
  <si>
    <t>Período</t>
  </si>
  <si>
    <t>3. INDICADORES PRINCIPAIS</t>
  </si>
  <si>
    <t>Patrimônio Final</t>
  </si>
  <si>
    <t>Dividendos Recebidos</t>
  </si>
  <si>
    <t>ROI (%)</t>
  </si>
  <si>
    <t>4. CARACTERÍSTICAS DOS FUNDOS IMOBILIÁRIOS</t>
  </si>
  <si>
    <t>Liquidez</t>
  </si>
  <si>
    <t>Dividend Yield</t>
  </si>
  <si>
    <t>Volatilidade</t>
  </si>
  <si>
    <t>Diversificação</t>
  </si>
  <si>
    <t>5. ANÁLISE DE RESULTADOS</t>
  </si>
  <si>
    <t>A simulação permite visualizar o crescimento exponencial do patrimônio ao longo do tempo.</t>
  </si>
  <si>
    <t>Os dividendos mensais aumentam conforme o patrimônio acumula, gerando efeito de juros compostos.</t>
  </si>
  <si>
    <t>O ROI permite comparar este investimento com outras alternativas disponíveis no mercado.</t>
  </si>
  <si>
    <t>6. RECOMENDAÇÕES</t>
  </si>
  <si>
    <t>Revisar mensalmente a performance do investimento</t>
  </si>
  <si>
    <t>Comparar com índices de mercado (IFIX, IBOVESPA)</t>
  </si>
  <si>
    <t>Considerar diversificação em múltiplos fundos</t>
  </si>
  <si>
    <t>Avaliar impacto fiscal (IR e/ou isenção de rendimentos)</t>
  </si>
  <si>
    <t>7. OBSERVAÇÕES TÉCNICAS</t>
  </si>
  <si>
    <t>As fórmulas automatizam os cálculos de rendimento e dividendos</t>
  </si>
  <si>
    <t>Os dados são atualizados automaticamente ao alterar os parâmetros de entrada</t>
  </si>
  <si>
    <t>A planilha pode ser estendida para análise de cenários alternativos</t>
  </si>
  <si>
    <t>R$ 50.000,00</t>
  </si>
  <si>
    <t>R$ 1.000,00</t>
  </si>
  <si>
    <t>8,5%</t>
  </si>
  <si>
    <t>60 meses (5 anos)</t>
  </si>
  <si>
    <t>Soma do capital inicial + aportes mensais</t>
  </si>
  <si>
    <t>Valor total acumulado ao final do período</t>
  </si>
  <si>
    <t>Rendimentos mensais acumulados</t>
  </si>
  <si>
    <t>Retorno sobre o investimento total</t>
  </si>
  <si>
    <t>Variável conforme o fundo (dados para análise)</t>
  </si>
  <si>
    <t>Taxa de rendimento esperada anualmente</t>
  </si>
  <si>
    <t>Variação de preço das cotas (mercado)</t>
  </si>
  <si>
    <t>Portfólio de imóveis reduz riscos</t>
  </si>
  <si>
    <t>RELATÓRIO DE ANÁLISE - FUNDOS IMOBILIÁRIOS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</si>
</sst>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44" fontId="0" fillId="0" borderId="0" xfId="1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44" fontId="0" fillId="0" borderId="6" xfId="1" applyFont="1" applyBorder="1"/>
    <xf numFmtId="10" fontId="0" fillId="0" borderId="6" xfId="2" applyNumberFormat="1" applyFont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" fontId="0" fillId="0" borderId="9" xfId="0" applyNumberFormat="1" applyBorder="1"/>
    <xf numFmtId="44" fontId="0" fillId="0" borderId="6" xfId="0" applyNumberFormat="1" applyBorder="1"/>
    <xf numFmtId="10" fontId="0" fillId="0" borderId="9" xfId="2" applyNumberFormat="1" applyFont="1" applyBorder="1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showGridLines="0" tabSelected="1" workbookViewId="0">
      <selection activeCell="G10" sqref="G10"/>
    </sheetView>
  </sheetViews>
  <sheetFormatPr defaultRowHeight="14.4" x14ac:dyDescent="0.3"/>
  <cols>
    <col min="1" max="1" width="11.109375" customWidth="1"/>
    <col min="2" max="2" width="19.109375" customWidth="1"/>
    <col min="3" max="5" width="17" customWidth="1"/>
    <col min="6" max="6" width="17" style="1" customWidth="1"/>
  </cols>
  <sheetData>
    <row r="1" spans="1:6" ht="15" thickBot="1" x14ac:dyDescent="0.35">
      <c r="A1" s="24" t="s">
        <v>78</v>
      </c>
      <c r="B1" s="25"/>
      <c r="C1" s="25"/>
      <c r="D1" s="25"/>
      <c r="E1" s="25"/>
      <c r="F1" s="26"/>
    </row>
    <row r="2" spans="1:6" ht="15" thickBot="1" x14ac:dyDescent="0.35"/>
    <row r="3" spans="1:6" x14ac:dyDescent="0.3">
      <c r="A3" s="4" t="s">
        <v>0</v>
      </c>
      <c r="B3" s="5"/>
      <c r="C3" s="6"/>
    </row>
    <row r="4" spans="1:6" x14ac:dyDescent="0.3">
      <c r="A4" s="7" t="s">
        <v>1</v>
      </c>
      <c r="B4" s="3"/>
      <c r="C4" s="8">
        <v>50000</v>
      </c>
    </row>
    <row r="5" spans="1:6" x14ac:dyDescent="0.3">
      <c r="A5" s="7" t="s">
        <v>2</v>
      </c>
      <c r="B5" s="3"/>
      <c r="C5" s="8">
        <v>1000</v>
      </c>
    </row>
    <row r="6" spans="1:6" x14ac:dyDescent="0.3">
      <c r="A6" s="7" t="s">
        <v>3</v>
      </c>
      <c r="B6" s="3"/>
      <c r="C6" s="9">
        <v>8.5000000000000006E-2</v>
      </c>
    </row>
    <row r="7" spans="1:6" ht="15" thickBot="1" x14ac:dyDescent="0.35">
      <c r="A7" s="10" t="s">
        <v>4</v>
      </c>
      <c r="B7" s="11"/>
      <c r="C7" s="12">
        <v>60</v>
      </c>
    </row>
    <row r="8" spans="1:6" ht="15" thickBot="1" x14ac:dyDescent="0.35">
      <c r="A8" s="2"/>
      <c r="B8" s="2"/>
    </row>
    <row r="9" spans="1:6" x14ac:dyDescent="0.3">
      <c r="A9" s="4" t="s">
        <v>5</v>
      </c>
      <c r="B9" s="5"/>
      <c r="C9" s="6"/>
    </row>
    <row r="10" spans="1:6" x14ac:dyDescent="0.3">
      <c r="A10" s="7" t="s">
        <v>6</v>
      </c>
      <c r="B10" s="3"/>
      <c r="C10" s="13">
        <f>C4+C5*C7</f>
        <v>110000</v>
      </c>
    </row>
    <row r="11" spans="1:6" x14ac:dyDescent="0.3">
      <c r="A11" s="7" t="s">
        <v>7</v>
      </c>
      <c r="B11" s="3"/>
      <c r="C11" s="9">
        <f>C6/12</f>
        <v>7.0833333333333338E-3</v>
      </c>
    </row>
    <row r="12" spans="1:6" x14ac:dyDescent="0.3">
      <c r="A12" s="7" t="s">
        <v>8</v>
      </c>
      <c r="B12" s="3"/>
      <c r="C12" s="8">
        <f>F77</f>
        <v>75506.852344986488</v>
      </c>
    </row>
    <row r="13" spans="1:6" x14ac:dyDescent="0.3">
      <c r="A13" s="7" t="s">
        <v>9</v>
      </c>
      <c r="B13" s="3"/>
      <c r="C13" s="13">
        <f>C10-F77</f>
        <v>34493.147655013512</v>
      </c>
    </row>
    <row r="14" spans="1:6" ht="15" thickBot="1" x14ac:dyDescent="0.35">
      <c r="A14" s="10" t="s">
        <v>10</v>
      </c>
      <c r="B14" s="11"/>
      <c r="C14" s="14">
        <f>(C13/C10)</f>
        <v>0.3135740695910319</v>
      </c>
    </row>
    <row r="15" spans="1:6" ht="15" thickBot="1" x14ac:dyDescent="0.35"/>
    <row r="16" spans="1:6" x14ac:dyDescent="0.3">
      <c r="A16" s="4" t="s">
        <v>11</v>
      </c>
      <c r="B16" s="5"/>
      <c r="C16" s="5"/>
      <c r="D16" s="5"/>
      <c r="E16" s="5"/>
      <c r="F16" s="6"/>
    </row>
    <row r="17" spans="1:6" x14ac:dyDescent="0.3">
      <c r="A17" s="18" t="s">
        <v>12</v>
      </c>
      <c r="B17" s="15" t="s">
        <v>73</v>
      </c>
      <c r="C17" s="15" t="s">
        <v>74</v>
      </c>
      <c r="D17" s="15" t="s">
        <v>75</v>
      </c>
      <c r="E17" s="15" t="s">
        <v>76</v>
      </c>
      <c r="F17" s="19" t="s">
        <v>77</v>
      </c>
    </row>
    <row r="18" spans="1:6" x14ac:dyDescent="0.3">
      <c r="A18" s="18" t="s">
        <v>13</v>
      </c>
      <c r="B18" s="17">
        <f>$C$4</f>
        <v>50000</v>
      </c>
      <c r="C18" s="17">
        <f>$C$5</f>
        <v>1000</v>
      </c>
      <c r="D18" s="16">
        <f>(B18+C18)*$C$11</f>
        <v>361.25</v>
      </c>
      <c r="E18" s="17">
        <f>D18 * ($C$11/12)</f>
        <v>0.21323784722222222</v>
      </c>
      <c r="F18" s="19">
        <f>C18+D18</f>
        <v>1361.25</v>
      </c>
    </row>
    <row r="19" spans="1:6" x14ac:dyDescent="0.3">
      <c r="A19" s="18" t="s">
        <v>14</v>
      </c>
      <c r="B19" s="16">
        <f>F18</f>
        <v>1361.25</v>
      </c>
      <c r="C19" s="17">
        <f>$C$5</f>
        <v>1000</v>
      </c>
      <c r="D19" s="16">
        <f>(B19+C19)*$C$11</f>
        <v>16.725520833333334</v>
      </c>
      <c r="E19" s="17">
        <f>D19 * ($C$11/12)</f>
        <v>9.8727032696759275E-3</v>
      </c>
      <c r="F19" s="19">
        <f t="shared" ref="F18:F49" si="0">B19+C19+D19</f>
        <v>2377.9755208333331</v>
      </c>
    </row>
    <row r="20" spans="1:6" x14ac:dyDescent="0.3">
      <c r="A20" s="18" t="s">
        <v>15</v>
      </c>
      <c r="B20" s="16">
        <f t="shared" ref="B19:B50" si="1">F19</f>
        <v>2377.9755208333331</v>
      </c>
      <c r="C20" s="17">
        <f>$C$5</f>
        <v>1000</v>
      </c>
      <c r="D20" s="16">
        <f>(B20+C20)*$C$11</f>
        <v>23.927326605902778</v>
      </c>
      <c r="E20" s="17">
        <f>D20 * ($C$11/12)</f>
        <v>1.412376917709539E-2</v>
      </c>
      <c r="F20" s="19">
        <f>B20+C20+D20</f>
        <v>3401.9028474392358</v>
      </c>
    </row>
    <row r="21" spans="1:6" x14ac:dyDescent="0.3">
      <c r="A21" s="18" t="s">
        <v>16</v>
      </c>
      <c r="B21" s="16">
        <f t="shared" si="1"/>
        <v>3401.9028474392358</v>
      </c>
      <c r="C21" s="17">
        <f>$C$5</f>
        <v>1000</v>
      </c>
      <c r="D21" s="16">
        <f>(B21+C21)*$C$11</f>
        <v>31.180145169361257</v>
      </c>
      <c r="E21" s="17">
        <f>D21 * ($C$11/12)</f>
        <v>1.8404946801359075E-2</v>
      </c>
      <c r="F21" s="19">
        <f t="shared" si="0"/>
        <v>4433.0829926085971</v>
      </c>
    </row>
    <row r="22" spans="1:6" x14ac:dyDescent="0.3">
      <c r="A22" s="18" t="s">
        <v>17</v>
      </c>
      <c r="B22" s="16">
        <f t="shared" si="1"/>
        <v>4433.0829926085971</v>
      </c>
      <c r="C22" s="17">
        <f>$C$5</f>
        <v>1000</v>
      </c>
      <c r="D22" s="16">
        <f>(B22+C22)*$C$11</f>
        <v>38.484337864310902</v>
      </c>
      <c r="E22" s="17">
        <f>D22 * ($C$11/12)</f>
        <v>2.2716449433794628E-2</v>
      </c>
      <c r="F22" s="19">
        <f t="shared" si="0"/>
        <v>5471.567330472908</v>
      </c>
    </row>
    <row r="23" spans="1:6" x14ac:dyDescent="0.3">
      <c r="A23" s="18" t="s">
        <v>18</v>
      </c>
      <c r="B23" s="16">
        <f t="shared" si="1"/>
        <v>5471.567330472908</v>
      </c>
      <c r="C23" s="17">
        <f>$C$5</f>
        <v>1000</v>
      </c>
      <c r="D23" s="16">
        <f>(B23+C23)*$C$11</f>
        <v>45.840268590849767</v>
      </c>
      <c r="E23" s="17">
        <f>D23 * ($C$11/12)</f>
        <v>2.7058491876543266E-2</v>
      </c>
      <c r="F23" s="19">
        <f t="shared" si="0"/>
        <v>6517.4075990637575</v>
      </c>
    </row>
    <row r="24" spans="1:6" x14ac:dyDescent="0.3">
      <c r="A24" s="18" t="s">
        <v>19</v>
      </c>
      <c r="B24" s="16">
        <f t="shared" si="1"/>
        <v>6517.4075990637575</v>
      </c>
      <c r="C24" s="17">
        <f>$C$5</f>
        <v>1000</v>
      </c>
      <c r="D24" s="16">
        <f>(B24+C24)*$C$11</f>
        <v>53.248303826701623</v>
      </c>
      <c r="E24" s="17">
        <f>D24 * ($C$11/12)</f>
        <v>3.1431290453261373E-2</v>
      </c>
      <c r="F24" s="19">
        <f t="shared" si="0"/>
        <v>7570.6559028904594</v>
      </c>
    </row>
    <row r="25" spans="1:6" x14ac:dyDescent="0.3">
      <c r="A25" s="18" t="s">
        <v>20</v>
      </c>
      <c r="B25" s="16">
        <f t="shared" si="1"/>
        <v>7570.6559028904594</v>
      </c>
      <c r="C25" s="17">
        <f>$C$5</f>
        <v>1000</v>
      </c>
      <c r="D25" s="16">
        <f>(B25+C25)*$C$11</f>
        <v>60.70881264547409</v>
      </c>
      <c r="E25" s="17">
        <f>D25 * ($C$11/12)</f>
        <v>3.5835063019897903E-2</v>
      </c>
      <c r="F25" s="19">
        <f t="shared" si="0"/>
        <v>8631.364715535934</v>
      </c>
    </row>
    <row r="26" spans="1:6" x14ac:dyDescent="0.3">
      <c r="A26" s="18" t="s">
        <v>21</v>
      </c>
      <c r="B26" s="16">
        <f t="shared" si="1"/>
        <v>8631.364715535934</v>
      </c>
      <c r="C26" s="17">
        <f>$C$5</f>
        <v>1000</v>
      </c>
      <c r="D26" s="16">
        <f>(B26+C26)*$C$11</f>
        <v>68.222166735046201</v>
      </c>
      <c r="E26" s="17">
        <f>D26 * ($C$11/12)</f>
        <v>4.0270028975548107E-2</v>
      </c>
      <c r="F26" s="19">
        <f t="shared" si="0"/>
        <v>9699.5868822709799</v>
      </c>
    </row>
    <row r="27" spans="1:6" x14ac:dyDescent="0.3">
      <c r="A27" s="18" t="s">
        <v>22</v>
      </c>
      <c r="B27" s="16">
        <f t="shared" si="1"/>
        <v>9699.5868822709799</v>
      </c>
      <c r="C27" s="17">
        <f>$C$5</f>
        <v>1000</v>
      </c>
      <c r="D27" s="16">
        <f>(B27+C27)*$C$11</f>
        <v>75.788740416086114</v>
      </c>
      <c r="E27" s="17">
        <f>D27 * ($C$11/12)</f>
        <v>4.4736409273384167E-2</v>
      </c>
      <c r="F27" s="19">
        <f t="shared" si="0"/>
        <v>10775.375622687066</v>
      </c>
    </row>
    <row r="28" spans="1:6" x14ac:dyDescent="0.3">
      <c r="A28" s="18" t="s">
        <v>23</v>
      </c>
      <c r="B28" s="16">
        <f t="shared" si="1"/>
        <v>10775.375622687066</v>
      </c>
      <c r="C28" s="17">
        <f>$C$5</f>
        <v>1000</v>
      </c>
      <c r="D28" s="16">
        <f>(B28+C28)*$C$11</f>
        <v>83.408910660700059</v>
      </c>
      <c r="E28" s="17">
        <f>D28 * ($C$11/12)</f>
        <v>4.9234426431663231E-2</v>
      </c>
      <c r="F28" s="19">
        <f t="shared" si="0"/>
        <v>11858.784533347767</v>
      </c>
    </row>
    <row r="29" spans="1:6" x14ac:dyDescent="0.3">
      <c r="A29" s="18" t="s">
        <v>24</v>
      </c>
      <c r="B29" s="16">
        <f t="shared" si="1"/>
        <v>11858.784533347767</v>
      </c>
      <c r="C29" s="17">
        <f>$C$5</f>
        <v>1000</v>
      </c>
      <c r="D29" s="16">
        <f>(B29+C29)*$C$11</f>
        <v>91.083057111213364</v>
      </c>
      <c r="E29" s="17">
        <f>D29 * ($C$11/12)</f>
        <v>5.3764304544813443E-2</v>
      </c>
      <c r="F29" s="19">
        <f t="shared" si="0"/>
        <v>12949.86759045898</v>
      </c>
    </row>
    <row r="30" spans="1:6" x14ac:dyDescent="0.3">
      <c r="A30" s="18" t="s">
        <v>25</v>
      </c>
      <c r="B30" s="16">
        <f t="shared" si="1"/>
        <v>12949.86759045898</v>
      </c>
      <c r="C30" s="17">
        <f>$C$5</f>
        <v>1000</v>
      </c>
      <c r="D30" s="16">
        <f>(B30+C30)*$C$11</f>
        <v>98.811562099084455</v>
      </c>
      <c r="E30" s="17">
        <f>D30 * ($C$11/12)</f>
        <v>5.8326269294598464E-2</v>
      </c>
      <c r="F30" s="19">
        <f t="shared" si="0"/>
        <v>14048.679152558065</v>
      </c>
    </row>
    <row r="31" spans="1:6" x14ac:dyDescent="0.3">
      <c r="A31" s="18" t="s">
        <v>26</v>
      </c>
      <c r="B31" s="16">
        <f t="shared" si="1"/>
        <v>14048.679152558065</v>
      </c>
      <c r="C31" s="17">
        <f>$C$5</f>
        <v>1000</v>
      </c>
      <c r="D31" s="16">
        <f>(B31+C31)*$C$11</f>
        <v>106.59481066395297</v>
      </c>
      <c r="E31" s="17">
        <f>D31 * ($C$11/12)</f>
        <v>6.2920547961361123E-2</v>
      </c>
      <c r="F31" s="19">
        <f t="shared" si="0"/>
        <v>15155.273963222018</v>
      </c>
    </row>
    <row r="32" spans="1:6" x14ac:dyDescent="0.3">
      <c r="A32" s="18" t="s">
        <v>27</v>
      </c>
      <c r="B32" s="16">
        <f t="shared" si="1"/>
        <v>15155.273963222018</v>
      </c>
      <c r="C32" s="17">
        <f>$C$5</f>
        <v>1000</v>
      </c>
      <c r="D32" s="16">
        <f>(B32+C32)*$C$11</f>
        <v>114.43319057282264</v>
      </c>
      <c r="E32" s="17">
        <f>D32 * ($C$11/12)</f>
        <v>6.7547369435346699E-2</v>
      </c>
      <c r="F32" s="19">
        <f t="shared" si="0"/>
        <v>16269.707153794841</v>
      </c>
    </row>
    <row r="33" spans="1:6" x14ac:dyDescent="0.3">
      <c r="A33" s="18" t="s">
        <v>28</v>
      </c>
      <c r="B33" s="16">
        <f t="shared" si="1"/>
        <v>16269.707153794841</v>
      </c>
      <c r="C33" s="17">
        <f>$C$5</f>
        <v>1000</v>
      </c>
      <c r="D33" s="16">
        <f>(B33+C33)*$C$11</f>
        <v>122.32709233938014</v>
      </c>
      <c r="E33" s="17">
        <f>D33 * ($C$11/12)</f>
        <v>7.2206964228106338E-2</v>
      </c>
      <c r="F33" s="19">
        <f t="shared" si="0"/>
        <v>17392.034246134222</v>
      </c>
    </row>
    <row r="34" spans="1:6" x14ac:dyDescent="0.3">
      <c r="A34" s="18" t="s">
        <v>29</v>
      </c>
      <c r="B34" s="16">
        <f t="shared" si="1"/>
        <v>17392.034246134222</v>
      </c>
      <c r="C34" s="17">
        <f>$C$5</f>
        <v>1000</v>
      </c>
      <c r="D34" s="16">
        <f>(B34+C34)*$C$11</f>
        <v>130.27690924345075</v>
      </c>
      <c r="E34" s="17">
        <f>D34 * ($C$11/12)</f>
        <v>7.6899564483981345E-2</v>
      </c>
      <c r="F34" s="19">
        <f t="shared" si="0"/>
        <v>18522.311155377673</v>
      </c>
    </row>
    <row r="35" spans="1:6" x14ac:dyDescent="0.3">
      <c r="A35" s="18" t="s">
        <v>30</v>
      </c>
      <c r="B35" s="16">
        <f t="shared" si="1"/>
        <v>18522.311155377673</v>
      </c>
      <c r="C35" s="17">
        <f>$C$5</f>
        <v>1000</v>
      </c>
      <c r="D35" s="16">
        <f>(B35+C35)*$C$11</f>
        <v>138.28303735059185</v>
      </c>
      <c r="E35" s="17">
        <f>D35 * ($C$11/12)</f>
        <v>8.1625403991668802E-2</v>
      </c>
      <c r="F35" s="19">
        <f t="shared" si="0"/>
        <v>19660.594192728266</v>
      </c>
    </row>
    <row r="36" spans="1:6" x14ac:dyDescent="0.3">
      <c r="A36" s="18" t="s">
        <v>31</v>
      </c>
      <c r="B36" s="16">
        <f t="shared" si="1"/>
        <v>19660.594192728266</v>
      </c>
      <c r="C36" s="17">
        <f>$C$5</f>
        <v>1000</v>
      </c>
      <c r="D36" s="16">
        <f>(B36+C36)*$C$11</f>
        <v>146.34587553182521</v>
      </c>
      <c r="E36" s="17">
        <f>D36 * ($C$11/12)</f>
        <v>8.6384718195869056E-2</v>
      </c>
      <c r="F36" s="19">
        <f t="shared" si="0"/>
        <v>20806.94006826009</v>
      </c>
    </row>
    <row r="37" spans="1:6" x14ac:dyDescent="0.3">
      <c r="A37" s="18" t="s">
        <v>32</v>
      </c>
      <c r="B37" s="16">
        <f t="shared" si="1"/>
        <v>20806.94006826009</v>
      </c>
      <c r="C37" s="17">
        <f>$C$5</f>
        <v>1000</v>
      </c>
      <c r="D37" s="16">
        <f>(B37+C37)*$C$11</f>
        <v>154.46582548350898</v>
      </c>
      <c r="E37" s="17">
        <f>D37 * ($C$11/12)</f>
        <v>9.1177744209015713E-2</v>
      </c>
      <c r="F37" s="19">
        <f t="shared" si="0"/>
        <v>21961.405893743598</v>
      </c>
    </row>
    <row r="38" spans="1:6" x14ac:dyDescent="0.3">
      <c r="A38" s="18" t="s">
        <v>33</v>
      </c>
      <c r="B38" s="16">
        <f t="shared" si="1"/>
        <v>21961.405893743598</v>
      </c>
      <c r="C38" s="17">
        <f>$C$5</f>
        <v>1000</v>
      </c>
      <c r="D38" s="16">
        <f>(B38+C38)*$C$11</f>
        <v>162.6432917473505</v>
      </c>
      <c r="E38" s="17">
        <f>D38 * ($C$11/12)</f>
        <v>9.6004720823088835E-2</v>
      </c>
      <c r="F38" s="19">
        <f t="shared" si="0"/>
        <v>23124.049185490949</v>
      </c>
    </row>
    <row r="39" spans="1:6" x14ac:dyDescent="0.3">
      <c r="A39" s="18" t="s">
        <v>34</v>
      </c>
      <c r="B39" s="16">
        <f t="shared" si="1"/>
        <v>23124.049185490949</v>
      </c>
      <c r="C39" s="17">
        <f>$C$5</f>
        <v>1000</v>
      </c>
      <c r="D39" s="16">
        <f>(B39+C39)*$C$11</f>
        <v>170.87868173056088</v>
      </c>
      <c r="E39" s="17">
        <f>D39 * ($C$11/12)</f>
        <v>0.10086588852151164</v>
      </c>
      <c r="F39" s="19">
        <f t="shared" si="0"/>
        <v>24294.927867221511</v>
      </c>
    </row>
    <row r="40" spans="1:6" x14ac:dyDescent="0.3">
      <c r="A40" s="18" t="s">
        <v>35</v>
      </c>
      <c r="B40" s="16">
        <f t="shared" si="1"/>
        <v>24294.927867221511</v>
      </c>
      <c r="C40" s="17">
        <f>$C$5</f>
        <v>1000</v>
      </c>
      <c r="D40" s="16">
        <f>(B40+C40)*$C$11</f>
        <v>179.17240572615239</v>
      </c>
      <c r="E40" s="17">
        <f>D40 * ($C$11/12)</f>
        <v>0.10576148949113162</v>
      </c>
      <c r="F40" s="19">
        <f t="shared" si="0"/>
        <v>25474.100272947664</v>
      </c>
    </row>
    <row r="41" spans="1:6" x14ac:dyDescent="0.3">
      <c r="A41" s="18" t="s">
        <v>36</v>
      </c>
      <c r="B41" s="16">
        <f t="shared" si="1"/>
        <v>25474.100272947664</v>
      </c>
      <c r="C41" s="17">
        <f>$C$5</f>
        <v>1000</v>
      </c>
      <c r="D41" s="16">
        <f>(B41+C41)*$C$11</f>
        <v>187.52487693337929</v>
      </c>
      <c r="E41" s="17">
        <f>D41 * ($C$11/12)</f>
        <v>0.11069176763428638</v>
      </c>
      <c r="F41" s="19">
        <f t="shared" si="0"/>
        <v>26661.625149881042</v>
      </c>
    </row>
    <row r="42" spans="1:6" x14ac:dyDescent="0.3">
      <c r="A42" s="18" t="s">
        <v>37</v>
      </c>
      <c r="B42" s="16">
        <f t="shared" si="1"/>
        <v>26661.625149881042</v>
      </c>
      <c r="C42" s="17">
        <f>$C$5</f>
        <v>1000</v>
      </c>
      <c r="D42" s="16">
        <f>(B42+C42)*$C$11</f>
        <v>195.93651147832406</v>
      </c>
      <c r="E42" s="17">
        <f>D42 * ($C$11/12)</f>
        <v>0.11565696858095517</v>
      </c>
      <c r="F42" s="19">
        <f t="shared" si="0"/>
        <v>27857.561661359367</v>
      </c>
    </row>
    <row r="43" spans="1:6" x14ac:dyDescent="0.3">
      <c r="A43" s="18" t="s">
        <v>38</v>
      </c>
      <c r="B43" s="16">
        <f t="shared" si="1"/>
        <v>27857.561661359367</v>
      </c>
      <c r="C43" s="17">
        <f>$C$5</f>
        <v>1000</v>
      </c>
      <c r="D43" s="16">
        <f>(B43+C43)*$C$11</f>
        <v>204.40772843462886</v>
      </c>
      <c r="E43" s="17">
        <f>D43 * ($C$11/12)</f>
        <v>0.12065733970099621</v>
      </c>
      <c r="F43" s="19">
        <f t="shared" si="0"/>
        <v>29061.969389793994</v>
      </c>
    </row>
    <row r="44" spans="1:6" x14ac:dyDescent="0.3">
      <c r="A44" s="18" t="s">
        <v>39</v>
      </c>
      <c r="B44" s="16">
        <f t="shared" si="1"/>
        <v>29061.969389793994</v>
      </c>
      <c r="C44" s="17">
        <f>$C$5</f>
        <v>1000</v>
      </c>
      <c r="D44" s="16">
        <f>(B44+C44)*$C$11</f>
        <v>212.93894984437415</v>
      </c>
      <c r="E44" s="17">
        <f>D44 * ($C$11/12)</f>
        <v>0.12569313011647085</v>
      </c>
      <c r="F44" s="19">
        <f t="shared" si="0"/>
        <v>30274.908339638368</v>
      </c>
    </row>
    <row r="45" spans="1:6" x14ac:dyDescent="0.3">
      <c r="A45" s="18" t="s">
        <v>40</v>
      </c>
      <c r="B45" s="16">
        <f t="shared" si="1"/>
        <v>30274.908339638368</v>
      </c>
      <c r="C45" s="17">
        <f>$C$5</f>
        <v>1000</v>
      </c>
      <c r="D45" s="16">
        <f>(B45+C45)*$C$11</f>
        <v>221.53060073910513</v>
      </c>
      <c r="E45" s="17">
        <f>D45 * ($C$11/12)</f>
        <v>0.13076459071405511</v>
      </c>
      <c r="F45" s="19">
        <f t="shared" si="0"/>
        <v>31496.438940377473</v>
      </c>
    </row>
    <row r="46" spans="1:6" x14ac:dyDescent="0.3">
      <c r="A46" s="18" t="s">
        <v>41</v>
      </c>
      <c r="B46" s="16">
        <f t="shared" si="1"/>
        <v>31496.438940377473</v>
      </c>
      <c r="C46" s="17">
        <f>$C$5</f>
        <v>1000</v>
      </c>
      <c r="D46" s="16">
        <f>(B46+C46)*$C$11</f>
        <v>230.18310916100711</v>
      </c>
      <c r="E46" s="17">
        <f>D46 * ($C$11/12)</f>
        <v>0.13587197415753893</v>
      </c>
      <c r="F46" s="19">
        <f t="shared" si="0"/>
        <v>32726.62204953848</v>
      </c>
    </row>
    <row r="47" spans="1:6" x14ac:dyDescent="0.3">
      <c r="A47" s="18" t="s">
        <v>42</v>
      </c>
      <c r="B47" s="16">
        <f t="shared" si="1"/>
        <v>32726.62204953848</v>
      </c>
      <c r="C47" s="17">
        <f>$C$5</f>
        <v>1000</v>
      </c>
      <c r="D47" s="16">
        <f>(B47+C47)*$C$11</f>
        <v>238.89690618423089</v>
      </c>
      <c r="E47" s="17">
        <f>D47 * ($C$11/12)</f>
        <v>0.14101553490041407</v>
      </c>
      <c r="F47" s="19">
        <f t="shared" si="0"/>
        <v>33965.518955722706</v>
      </c>
    </row>
    <row r="48" spans="1:6" x14ac:dyDescent="0.3">
      <c r="A48" s="18" t="s">
        <v>43</v>
      </c>
      <c r="B48" s="16">
        <f t="shared" si="1"/>
        <v>33965.518955722706</v>
      </c>
      <c r="C48" s="17">
        <f>$C$5</f>
        <v>1000</v>
      </c>
      <c r="D48" s="16">
        <f>(B48+C48)*$C$11</f>
        <v>247.67242593636919</v>
      </c>
      <c r="E48" s="17">
        <f>D48 * ($C$11/12)</f>
        <v>0.14619552919855125</v>
      </c>
      <c r="F48" s="19">
        <f t="shared" si="0"/>
        <v>35213.191381659075</v>
      </c>
    </row>
    <row r="49" spans="1:6" x14ac:dyDescent="0.3">
      <c r="A49" s="18" t="s">
        <v>44</v>
      </c>
      <c r="B49" s="16">
        <f t="shared" si="1"/>
        <v>35213.191381659075</v>
      </c>
      <c r="C49" s="17">
        <f>$C$5</f>
        <v>1000</v>
      </c>
      <c r="D49" s="16">
        <f>(B49+C49)*$C$11</f>
        <v>256.51010562008514</v>
      </c>
      <c r="E49" s="17">
        <f>D49 * ($C$11/12)</f>
        <v>0.15141221512296693</v>
      </c>
      <c r="F49" s="19">
        <f t="shared" si="0"/>
        <v>36469.701487279162</v>
      </c>
    </row>
    <row r="50" spans="1:6" x14ac:dyDescent="0.3">
      <c r="A50" s="18" t="s">
        <v>45</v>
      </c>
      <c r="B50" s="16">
        <f t="shared" si="1"/>
        <v>36469.701487279162</v>
      </c>
      <c r="C50" s="17">
        <f>$C$5</f>
        <v>1000</v>
      </c>
      <c r="D50" s="16">
        <f>(B50+C50)*$C$11</f>
        <v>265.41038553489409</v>
      </c>
      <c r="E50" s="17">
        <f>D50 * ($C$11/12)</f>
        <v>0.15666585257268054</v>
      </c>
      <c r="F50" s="19">
        <f t="shared" ref="F50:F77" si="2">B50+C50+D50</f>
        <v>37735.111872814057</v>
      </c>
    </row>
    <row r="51" spans="1:6" x14ac:dyDescent="0.3">
      <c r="A51" s="18" t="s">
        <v>46</v>
      </c>
      <c r="B51" s="16">
        <f t="shared" ref="B51:B77" si="3">F50</f>
        <v>37735.111872814057</v>
      </c>
      <c r="C51" s="17">
        <f>$C$5</f>
        <v>1000</v>
      </c>
      <c r="D51" s="16">
        <f>(B51+C51)*$C$11</f>
        <v>274.37370909909959</v>
      </c>
      <c r="E51" s="17">
        <f>D51 * ($C$11/12)</f>
        <v>0.16195670328766296</v>
      </c>
      <c r="F51" s="19">
        <f t="shared" si="2"/>
        <v>39009.485581913155</v>
      </c>
    </row>
    <row r="52" spans="1:6" x14ac:dyDescent="0.3">
      <c r="A52" s="18" t="s">
        <v>47</v>
      </c>
      <c r="B52" s="16">
        <f t="shared" si="3"/>
        <v>39009.485581913155</v>
      </c>
      <c r="C52" s="17">
        <f>$C$5</f>
        <v>1000</v>
      </c>
      <c r="D52" s="16">
        <f>(B52+C52)*$C$11</f>
        <v>283.40052287188485</v>
      </c>
      <c r="E52" s="17">
        <f>D52 * ($C$11/12)</f>
        <v>0.16728503086187646</v>
      </c>
      <c r="F52" s="19">
        <f t="shared" si="2"/>
        <v>40292.886104785037</v>
      </c>
    </row>
    <row r="53" spans="1:6" x14ac:dyDescent="0.3">
      <c r="A53" s="18" t="s">
        <v>48</v>
      </c>
      <c r="B53" s="16">
        <f t="shared" si="3"/>
        <v>40292.886104785037</v>
      </c>
      <c r="C53" s="17">
        <f>$C$5</f>
        <v>1000</v>
      </c>
      <c r="D53" s="16">
        <f>(B53+C53)*$C$11</f>
        <v>292.49127657556068</v>
      </c>
      <c r="E53" s="17">
        <f>D53 * ($C$11/12)</f>
        <v>0.17265110075640736</v>
      </c>
      <c r="F53" s="19">
        <f t="shared" si="2"/>
        <v>41585.377381360595</v>
      </c>
    </row>
    <row r="54" spans="1:6" x14ac:dyDescent="0.3">
      <c r="A54" s="18" t="s">
        <v>49</v>
      </c>
      <c r="B54" s="16">
        <f t="shared" si="3"/>
        <v>41585.377381360595</v>
      </c>
      <c r="C54" s="17">
        <f>$C$5</f>
        <v>1000</v>
      </c>
      <c r="D54" s="16">
        <f>(B54+C54)*$C$11</f>
        <v>301.64642311797093</v>
      </c>
      <c r="E54" s="17">
        <f>D54 * ($C$11/12)</f>
        <v>0.17805518031269119</v>
      </c>
      <c r="F54" s="19">
        <f t="shared" si="2"/>
        <v>42887.023804478566</v>
      </c>
    </row>
    <row r="55" spans="1:6" x14ac:dyDescent="0.3">
      <c r="A55" s="18" t="s">
        <v>50</v>
      </c>
      <c r="B55" s="16">
        <f t="shared" si="3"/>
        <v>42887.023804478566</v>
      </c>
      <c r="C55" s="17">
        <f>$C$5</f>
        <v>1000</v>
      </c>
      <c r="D55" s="16">
        <f>(B55+C55)*$C$11</f>
        <v>310.86641861505655</v>
      </c>
      <c r="E55" s="17">
        <f>D55 * ($C$11/12)</f>
        <v>0.183497538765832</v>
      </c>
      <c r="F55" s="19">
        <f t="shared" si="2"/>
        <v>44197.890223093622</v>
      </c>
    </row>
    <row r="56" spans="1:6" x14ac:dyDescent="0.3">
      <c r="A56" s="18" t="s">
        <v>51</v>
      </c>
      <c r="B56" s="16">
        <f t="shared" si="3"/>
        <v>44197.890223093622</v>
      </c>
      <c r="C56" s="17">
        <f>$C$5</f>
        <v>1000</v>
      </c>
      <c r="D56" s="16">
        <f>(B56+C56)*$C$11</f>
        <v>320.15172241357982</v>
      </c>
      <c r="E56" s="17">
        <f>D56 * ($C$11/12)</f>
        <v>0.18897844725801588</v>
      </c>
      <c r="F56" s="19">
        <f t="shared" si="2"/>
        <v>45518.041945507204</v>
      </c>
    </row>
    <row r="57" spans="1:6" x14ac:dyDescent="0.3">
      <c r="A57" s="18" t="s">
        <v>52</v>
      </c>
      <c r="B57" s="16">
        <f t="shared" si="3"/>
        <v>45518.041945507204</v>
      </c>
      <c r="C57" s="17">
        <f>$C$5</f>
        <v>1000</v>
      </c>
      <c r="D57" s="16">
        <f>(B57+C57)*$C$11</f>
        <v>329.50279711400941</v>
      </c>
      <c r="E57" s="17">
        <f>D57 * ($C$11/12)</f>
        <v>0.19449817885201945</v>
      </c>
      <c r="F57" s="19">
        <f t="shared" si="2"/>
        <v>46847.544742621212</v>
      </c>
    </row>
    <row r="58" spans="1:6" x14ac:dyDescent="0.3">
      <c r="A58" s="18" t="s">
        <v>53</v>
      </c>
      <c r="B58" s="16">
        <f t="shared" si="3"/>
        <v>46847.544742621212</v>
      </c>
      <c r="C58" s="17">
        <f>$C$5</f>
        <v>1000</v>
      </c>
      <c r="D58" s="16">
        <f>(B58+C58)*$C$11</f>
        <v>338.92010859356697</v>
      </c>
      <c r="E58" s="17">
        <f>D58 * ($C$11/12)</f>
        <v>0.20005700854481384</v>
      </c>
      <c r="F58" s="19">
        <f t="shared" si="2"/>
        <v>48186.464851214776</v>
      </c>
    </row>
    <row r="59" spans="1:6" x14ac:dyDescent="0.3">
      <c r="A59" s="18" t="s">
        <v>54</v>
      </c>
      <c r="B59" s="16">
        <f t="shared" si="3"/>
        <v>48186.464851214776</v>
      </c>
      <c r="C59" s="17">
        <f>$C$5</f>
        <v>1000</v>
      </c>
      <c r="D59" s="16">
        <f>(B59+C59)*$C$11</f>
        <v>348.40412602943803</v>
      </c>
      <c r="E59" s="17">
        <f>D59 * ($C$11/12)</f>
        <v>0.20565521328126551</v>
      </c>
      <c r="F59" s="19">
        <f t="shared" si="2"/>
        <v>49534.868977244216</v>
      </c>
    </row>
    <row r="60" spans="1:6" x14ac:dyDescent="0.3">
      <c r="A60" s="18" t="s">
        <v>55</v>
      </c>
      <c r="B60" s="16">
        <f t="shared" si="3"/>
        <v>49534.868977244216</v>
      </c>
      <c r="C60" s="17">
        <f>$C$5</f>
        <v>1000</v>
      </c>
      <c r="D60" s="16">
        <f>(B60+C60)*$C$11</f>
        <v>357.95532192214654</v>
      </c>
      <c r="E60" s="17">
        <f>D60 * ($C$11/12)</f>
        <v>0.21129307196793373</v>
      </c>
      <c r="F60" s="19">
        <f t="shared" si="2"/>
        <v>50892.824299166365</v>
      </c>
    </row>
    <row r="61" spans="1:6" x14ac:dyDescent="0.3">
      <c r="A61" s="18" t="s">
        <v>56</v>
      </c>
      <c r="B61" s="16">
        <f t="shared" si="3"/>
        <v>50892.824299166365</v>
      </c>
      <c r="C61" s="17">
        <f>$C$5</f>
        <v>1000</v>
      </c>
      <c r="D61" s="16">
        <f>(B61+C61)*$C$11</f>
        <v>367.57417211909512</v>
      </c>
      <c r="E61" s="17">
        <f>D61 * ($C$11/12)</f>
        <v>0.21697086548696587</v>
      </c>
      <c r="F61" s="19">
        <f t="shared" si="2"/>
        <v>52260.398471285458</v>
      </c>
    </row>
    <row r="62" spans="1:6" x14ac:dyDescent="0.3">
      <c r="A62" s="18" t="s">
        <v>57</v>
      </c>
      <c r="B62" s="16">
        <f t="shared" si="3"/>
        <v>52260.398471285458</v>
      </c>
      <c r="C62" s="17">
        <f>$C$5</f>
        <v>1000</v>
      </c>
      <c r="D62" s="16">
        <f>(B62+C62)*$C$11</f>
        <v>377.26115583827203</v>
      </c>
      <c r="E62" s="17">
        <f>D62 * ($C$11/12)</f>
        <v>0.22268887671009113</v>
      </c>
      <c r="F62" s="19">
        <f t="shared" si="2"/>
        <v>53637.659627123729</v>
      </c>
    </row>
    <row r="63" spans="1:6" x14ac:dyDescent="0.3">
      <c r="A63" s="18" t="s">
        <v>58</v>
      </c>
      <c r="B63" s="16">
        <f t="shared" si="3"/>
        <v>53637.659627123729</v>
      </c>
      <c r="C63" s="17">
        <f>$C$5</f>
        <v>1000</v>
      </c>
      <c r="D63" s="16">
        <f>(B63+C63)*$C$11</f>
        <v>387.01675569212642</v>
      </c>
      <c r="E63" s="17">
        <f>D63 * ($C$11/12)</f>
        <v>0.22844739051271351</v>
      </c>
      <c r="F63" s="19">
        <f t="shared" si="2"/>
        <v>55024.676382815858</v>
      </c>
    </row>
    <row r="64" spans="1:6" x14ac:dyDescent="0.3">
      <c r="A64" s="18" t="s">
        <v>59</v>
      </c>
      <c r="B64" s="16">
        <f t="shared" si="3"/>
        <v>55024.676382815858</v>
      </c>
      <c r="C64" s="17">
        <f>$C$5</f>
        <v>1000</v>
      </c>
      <c r="D64" s="16">
        <f>(B64+C64)*$C$11</f>
        <v>396.84145771161235</v>
      </c>
      <c r="E64" s="17">
        <f>D64 * ($C$11/12)</f>
        <v>0.2342466937881045</v>
      </c>
      <c r="F64" s="19">
        <f t="shared" si="2"/>
        <v>56421.517840527471</v>
      </c>
    </row>
    <row r="65" spans="1:6" x14ac:dyDescent="0.3">
      <c r="A65" s="18" t="s">
        <v>60</v>
      </c>
      <c r="B65" s="16">
        <f t="shared" si="3"/>
        <v>56421.517840527471</v>
      </c>
      <c r="C65" s="17">
        <f>$C$5</f>
        <v>1000</v>
      </c>
      <c r="D65" s="16">
        <f>(B65+C65)*$C$11</f>
        <v>406.73575137040297</v>
      </c>
      <c r="E65" s="17">
        <f>D65 * ($C$11/12)</f>
        <v>0.24008707546169619</v>
      </c>
      <c r="F65" s="19">
        <f t="shared" si="2"/>
        <v>57828.253591897876</v>
      </c>
    </row>
    <row r="66" spans="1:6" x14ac:dyDescent="0.3">
      <c r="A66" s="18" t="s">
        <v>61</v>
      </c>
      <c r="B66" s="16">
        <f t="shared" si="3"/>
        <v>57828.253591897876</v>
      </c>
      <c r="C66" s="17">
        <f>$C$5</f>
        <v>1000</v>
      </c>
      <c r="D66" s="16">
        <f>(B66+C66)*$C$11</f>
        <v>416.70012960927664</v>
      </c>
      <c r="E66" s="17">
        <f>D66 * ($C$11/12)</f>
        <v>0.2459688265054758</v>
      </c>
      <c r="F66" s="19">
        <f t="shared" si="2"/>
        <v>59244.953721507154</v>
      </c>
    </row>
    <row r="67" spans="1:6" x14ac:dyDescent="0.3">
      <c r="A67" s="18" t="s">
        <v>62</v>
      </c>
      <c r="B67" s="16">
        <f t="shared" si="3"/>
        <v>59244.953721507154</v>
      </c>
      <c r="C67" s="17">
        <f>$C$5</f>
        <v>1000</v>
      </c>
      <c r="D67" s="16">
        <f>(B67+C67)*$C$11</f>
        <v>426.73508886067572</v>
      </c>
      <c r="E67" s="17">
        <f>D67 * ($C$11/12)</f>
        <v>0.25189223995248222</v>
      </c>
      <c r="F67" s="19">
        <f t="shared" si="2"/>
        <v>60671.688810367828</v>
      </c>
    </row>
    <row r="68" spans="1:6" x14ac:dyDescent="0.3">
      <c r="A68" s="18" t="s">
        <v>63</v>
      </c>
      <c r="B68" s="16">
        <f t="shared" si="3"/>
        <v>60671.688810367828</v>
      </c>
      <c r="C68" s="17">
        <f>$C$5</f>
        <v>1000</v>
      </c>
      <c r="D68" s="16">
        <f>(B68+C68)*$C$11</f>
        <v>436.84112907343882</v>
      </c>
      <c r="E68" s="17">
        <f>D68 * ($C$11/12)</f>
        <v>0.25785761091140486</v>
      </c>
      <c r="F68" s="19">
        <f t="shared" si="2"/>
        <v>62108.529939441265</v>
      </c>
    </row>
    <row r="69" spans="1:6" x14ac:dyDescent="0.3">
      <c r="A69" s="18" t="s">
        <v>64</v>
      </c>
      <c r="B69" s="16">
        <f t="shared" si="3"/>
        <v>62108.529939441265</v>
      </c>
      <c r="C69" s="17">
        <f>$C$5</f>
        <v>1000</v>
      </c>
      <c r="D69" s="16">
        <f>(B69+C69)*$C$11</f>
        <v>447.01875373770901</v>
      </c>
      <c r="E69" s="17">
        <f>D69 * ($C$11/12)</f>
        <v>0.26386523658128658</v>
      </c>
      <c r="F69" s="19">
        <f t="shared" si="2"/>
        <v>63555.548693178971</v>
      </c>
    </row>
    <row r="70" spans="1:6" x14ac:dyDescent="0.3">
      <c r="A70" s="18" t="s">
        <v>65</v>
      </c>
      <c r="B70" s="16">
        <f t="shared" si="3"/>
        <v>63555.548693178971</v>
      </c>
      <c r="C70" s="17">
        <f>$C$5</f>
        <v>1000</v>
      </c>
      <c r="D70" s="16">
        <f>(B70+C70)*$C$11</f>
        <v>457.26846991001776</v>
      </c>
      <c r="E70" s="17">
        <f>D70 * ($C$11/12)</f>
        <v>0.26991541626632992</v>
      </c>
      <c r="F70" s="19">
        <f t="shared" si="2"/>
        <v>65012.817163088992</v>
      </c>
    </row>
    <row r="71" spans="1:6" x14ac:dyDescent="0.3">
      <c r="A71" s="18" t="s">
        <v>66</v>
      </c>
      <c r="B71" s="16">
        <f t="shared" si="3"/>
        <v>65012.817163088992</v>
      </c>
      <c r="C71" s="17">
        <f>$C$5</f>
        <v>1000</v>
      </c>
      <c r="D71" s="16">
        <f>(B71+C71)*$C$11</f>
        <v>467.59078823854713</v>
      </c>
      <c r="E71" s="17">
        <f>D71 * ($C$11/12)</f>
        <v>0.2760084513908091</v>
      </c>
      <c r="F71" s="19">
        <f t="shared" si="2"/>
        <v>66480.40795132755</v>
      </c>
    </row>
    <row r="72" spans="1:6" x14ac:dyDescent="0.3">
      <c r="A72" s="18" t="s">
        <v>67</v>
      </c>
      <c r="B72" s="16">
        <f t="shared" si="3"/>
        <v>66480.40795132755</v>
      </c>
      <c r="C72" s="17">
        <f>$C$5</f>
        <v>1000</v>
      </c>
      <c r="D72" s="16">
        <f>(B72+C72)*$C$11</f>
        <v>477.9862229885702</v>
      </c>
      <c r="E72" s="17">
        <f>D72 * ($C$11/12)</f>
        <v>0.28214464551408658</v>
      </c>
      <c r="F72" s="19">
        <f t="shared" si="2"/>
        <v>67958.394174316127</v>
      </c>
    </row>
    <row r="73" spans="1:6" x14ac:dyDescent="0.3">
      <c r="A73" s="18" t="s">
        <v>68</v>
      </c>
      <c r="B73" s="16">
        <f t="shared" si="3"/>
        <v>67958.394174316127</v>
      </c>
      <c r="C73" s="17">
        <f>$C$5</f>
        <v>1000</v>
      </c>
      <c r="D73" s="16">
        <f>(B73+C73)*$C$11</f>
        <v>488.45529206807259</v>
      </c>
      <c r="E73" s="17">
        <f>D73 * ($C$11/12)</f>
        <v>0.2883243043457373</v>
      </c>
      <c r="F73" s="19">
        <f t="shared" si="2"/>
        <v>69446.849466384199</v>
      </c>
    </row>
    <row r="74" spans="1:6" x14ac:dyDescent="0.3">
      <c r="A74" s="18" t="s">
        <v>69</v>
      </c>
      <c r="B74" s="16">
        <f t="shared" si="3"/>
        <v>69446.849466384199</v>
      </c>
      <c r="C74" s="17">
        <f>$C$5</f>
        <v>1000</v>
      </c>
      <c r="D74" s="16">
        <f>(B74+C74)*$C$11</f>
        <v>498.99851705355479</v>
      </c>
      <c r="E74" s="17">
        <f>D74 * ($C$11/12)</f>
        <v>0.29454773576077886</v>
      </c>
      <c r="F74" s="19">
        <f t="shared" si="2"/>
        <v>70945.84798343775</v>
      </c>
    </row>
    <row r="75" spans="1:6" x14ac:dyDescent="0.3">
      <c r="A75" s="18" t="s">
        <v>70</v>
      </c>
      <c r="B75" s="16">
        <f t="shared" si="3"/>
        <v>70945.84798343775</v>
      </c>
      <c r="C75" s="17">
        <f>$C$5</f>
        <v>1000</v>
      </c>
      <c r="D75" s="16">
        <f>(B75+C75)*$C$11</f>
        <v>509.61642321601744</v>
      </c>
      <c r="E75" s="17">
        <f>D75 * ($C$11/12)</f>
        <v>0.30081524981501029</v>
      </c>
      <c r="F75" s="19">
        <f t="shared" si="2"/>
        <v>72455.464406653773</v>
      </c>
    </row>
    <row r="76" spans="1:6" x14ac:dyDescent="0.3">
      <c r="A76" s="18" t="s">
        <v>71</v>
      </c>
      <c r="B76" s="16">
        <f t="shared" si="3"/>
        <v>72455.464406653773</v>
      </c>
      <c r="C76" s="17">
        <f>$C$5</f>
        <v>1000</v>
      </c>
      <c r="D76" s="16">
        <f>(B76+C76)*$C$11</f>
        <v>520.30953954713095</v>
      </c>
      <c r="E76" s="17">
        <f>D76 * ($C$11/12)</f>
        <v>0.30712715876045926</v>
      </c>
      <c r="F76" s="19">
        <f t="shared" si="2"/>
        <v>73975.773946200905</v>
      </c>
    </row>
    <row r="77" spans="1:6" ht="15" thickBot="1" x14ac:dyDescent="0.35">
      <c r="A77" s="20" t="s">
        <v>72</v>
      </c>
      <c r="B77" s="21">
        <f t="shared" si="3"/>
        <v>73975.773946200905</v>
      </c>
      <c r="C77" s="22">
        <f>$C$5</f>
        <v>1000</v>
      </c>
      <c r="D77" s="21">
        <f>(B77+C77)*$C$11</f>
        <v>531.0783987855898</v>
      </c>
      <c r="E77" s="22">
        <f>D77 * ($C$11/12)</f>
        <v>0.31348377706093844</v>
      </c>
      <c r="F77" s="23">
        <f t="shared" si="2"/>
        <v>75506.852344986488</v>
      </c>
    </row>
  </sheetData>
  <mergeCells count="13">
    <mergeCell ref="A11:B11"/>
    <mergeCell ref="A12:B12"/>
    <mergeCell ref="A13:B13"/>
    <mergeCell ref="A14:B14"/>
    <mergeCell ref="A3:C3"/>
    <mergeCell ref="A9:C9"/>
    <mergeCell ref="A1:F1"/>
    <mergeCell ref="A16:F16"/>
    <mergeCell ref="A4:B4"/>
    <mergeCell ref="A5:B5"/>
    <mergeCell ref="A6:B6"/>
    <mergeCell ref="A7:B7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/>
  </sheetViews>
  <sheetFormatPr defaultRowHeight="14.4" x14ac:dyDescent="0.3"/>
  <cols>
    <col min="1" max="1" width="50.6640625" customWidth="1"/>
    <col min="2" max="2" width="48.6640625" customWidth="1"/>
  </cols>
  <sheetData>
    <row r="1" spans="1:2" x14ac:dyDescent="0.3">
      <c r="A1" t="s">
        <v>120</v>
      </c>
    </row>
    <row r="3" spans="1:2" x14ac:dyDescent="0.3">
      <c r="A3" t="s">
        <v>79</v>
      </c>
    </row>
    <row r="4" spans="1:2" x14ac:dyDescent="0.3">
      <c r="A4" t="s">
        <v>80</v>
      </c>
    </row>
    <row r="6" spans="1:2" x14ac:dyDescent="0.3">
      <c r="A6" t="s">
        <v>81</v>
      </c>
    </row>
    <row r="7" spans="1:2" x14ac:dyDescent="0.3">
      <c r="A7" t="s">
        <v>82</v>
      </c>
      <c r="B7" t="s">
        <v>108</v>
      </c>
    </row>
    <row r="8" spans="1:2" x14ac:dyDescent="0.3">
      <c r="A8" t="s">
        <v>83</v>
      </c>
      <c r="B8" t="s">
        <v>109</v>
      </c>
    </row>
    <row r="9" spans="1:2" x14ac:dyDescent="0.3">
      <c r="A9" t="s">
        <v>84</v>
      </c>
      <c r="B9" t="s">
        <v>110</v>
      </c>
    </row>
    <row r="10" spans="1:2" x14ac:dyDescent="0.3">
      <c r="A10" t="s">
        <v>85</v>
      </c>
      <c r="B10" t="s">
        <v>111</v>
      </c>
    </row>
    <row r="12" spans="1:2" x14ac:dyDescent="0.3">
      <c r="A12" t="s">
        <v>86</v>
      </c>
    </row>
    <row r="13" spans="1:2" x14ac:dyDescent="0.3">
      <c r="A13" t="s">
        <v>6</v>
      </c>
      <c r="B13" t="s">
        <v>112</v>
      </c>
    </row>
    <row r="14" spans="1:2" x14ac:dyDescent="0.3">
      <c r="A14" t="s">
        <v>87</v>
      </c>
      <c r="B14" t="s">
        <v>113</v>
      </c>
    </row>
    <row r="15" spans="1:2" x14ac:dyDescent="0.3">
      <c r="A15" t="s">
        <v>88</v>
      </c>
      <c r="B15" t="s">
        <v>114</v>
      </c>
    </row>
    <row r="16" spans="1:2" x14ac:dyDescent="0.3">
      <c r="A16" t="s">
        <v>89</v>
      </c>
      <c r="B16" t="s">
        <v>115</v>
      </c>
    </row>
    <row r="18" spans="1:2" x14ac:dyDescent="0.3">
      <c r="A18" t="s">
        <v>90</v>
      </c>
    </row>
    <row r="19" spans="1:2" x14ac:dyDescent="0.3">
      <c r="A19" t="s">
        <v>91</v>
      </c>
      <c r="B19" t="s">
        <v>116</v>
      </c>
    </row>
    <row r="20" spans="1:2" x14ac:dyDescent="0.3">
      <c r="A20" t="s">
        <v>92</v>
      </c>
      <c r="B20" t="s">
        <v>117</v>
      </c>
    </row>
    <row r="21" spans="1:2" x14ac:dyDescent="0.3">
      <c r="A21" t="s">
        <v>93</v>
      </c>
      <c r="B21" t="s">
        <v>118</v>
      </c>
    </row>
    <row r="22" spans="1:2" x14ac:dyDescent="0.3">
      <c r="A22" t="s">
        <v>94</v>
      </c>
      <c r="B22" t="s">
        <v>119</v>
      </c>
    </row>
    <row r="24" spans="1:2" x14ac:dyDescent="0.3">
      <c r="A24" t="s">
        <v>95</v>
      </c>
    </row>
    <row r="25" spans="1:2" x14ac:dyDescent="0.3">
      <c r="A25" t="s">
        <v>96</v>
      </c>
    </row>
    <row r="26" spans="1:2" x14ac:dyDescent="0.3">
      <c r="A26" t="s">
        <v>97</v>
      </c>
    </row>
    <row r="27" spans="1:2" x14ac:dyDescent="0.3">
      <c r="A27" t="s">
        <v>98</v>
      </c>
    </row>
    <row r="29" spans="1:2" x14ac:dyDescent="0.3">
      <c r="A29" t="s">
        <v>99</v>
      </c>
    </row>
    <row r="30" spans="1:2" x14ac:dyDescent="0.3">
      <c r="A30" t="s">
        <v>100</v>
      </c>
    </row>
    <row r="31" spans="1:2" x14ac:dyDescent="0.3">
      <c r="A31" t="s">
        <v>101</v>
      </c>
    </row>
    <row r="32" spans="1:2" x14ac:dyDescent="0.3">
      <c r="A32" t="s">
        <v>102</v>
      </c>
    </row>
    <row r="33" spans="1:1" x14ac:dyDescent="0.3">
      <c r="A33" t="s">
        <v>103</v>
      </c>
    </row>
    <row r="35" spans="1:1" x14ac:dyDescent="0.3">
      <c r="A35" t="s">
        <v>104</v>
      </c>
    </row>
    <row r="36" spans="1:1" x14ac:dyDescent="0.3">
      <c r="A36" t="s">
        <v>105</v>
      </c>
    </row>
    <row r="37" spans="1:1" x14ac:dyDescent="0.3">
      <c r="A37" t="s">
        <v>106</v>
      </c>
    </row>
    <row r="38" spans="1:1" x14ac:dyDescent="0.3">
      <c r="A3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Simulador</vt:lpstr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Oliveira</cp:lastModifiedBy>
  <dcterms:created xsi:type="dcterms:W3CDTF">2026-01-12T15:56:57Z</dcterms:created>
  <dcterms:modified xsi:type="dcterms:W3CDTF">2026-01-12T16:25:36Z</dcterms:modified>
</cp:coreProperties>
</file>